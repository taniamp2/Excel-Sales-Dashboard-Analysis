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pou\Desktop\python\postgesql\excel project\"/>
    </mc:Choice>
  </mc:AlternateContent>
  <xr:revisionPtr revIDLastSave="0" documentId="8_{2B4B0852-7DEE-47A1-B2A1-5F87353876DA}" xr6:coauthVersionLast="47" xr6:coauthVersionMax="47" xr10:uidLastSave="{00000000-0000-0000-0000-000000000000}"/>
  <bookViews>
    <workbookView xWindow="-120" yWindow="-120" windowWidth="19440" windowHeight="10320" activeTab="1" xr2:uid="{CDAC976F-A1F0-4C7A-80AE-8A7EDDBB4D6A}"/>
  </bookViews>
  <sheets>
    <sheet name="Sheet1" sheetId="1" r:id="rId1"/>
    <sheet name="Dashoboard" sheetId="3" r:id="rId2"/>
  </sheets>
  <calcPr calcId="191029"/>
  <pivotCaches>
    <pivotCache cacheId="8" r:id="rId3"/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B1" i="1" s="1"/>
  <c r="G6" i="1"/>
  <c r="G7" i="1"/>
  <c r="G8" i="1"/>
  <c r="G9" i="1"/>
  <c r="G10" i="1"/>
  <c r="G11" i="1"/>
  <c r="G12" i="1"/>
  <c r="G13" i="1"/>
  <c r="G14" i="1"/>
</calcChain>
</file>

<file path=xl/sharedStrings.xml><?xml version="1.0" encoding="utf-8"?>
<sst xmlns="http://schemas.openxmlformats.org/spreadsheetml/2006/main" count="51" uniqueCount="27">
  <si>
    <t>Order Date</t>
  </si>
  <si>
    <t>Product</t>
  </si>
  <si>
    <t xml:space="preserve">Category </t>
  </si>
  <si>
    <t>Region</t>
  </si>
  <si>
    <t>Quantity</t>
  </si>
  <si>
    <t>Unit Price</t>
  </si>
  <si>
    <t>Laptop</t>
  </si>
  <si>
    <t>Electronics</t>
  </si>
  <si>
    <t>Europe</t>
  </si>
  <si>
    <t>Mouse</t>
  </si>
  <si>
    <t>Desk Chair</t>
  </si>
  <si>
    <t>Furniture</t>
  </si>
  <si>
    <t>Asia</t>
  </si>
  <si>
    <t>Monitor</t>
  </si>
  <si>
    <t>Notebook</t>
  </si>
  <si>
    <t>Office Supplies</t>
  </si>
  <si>
    <t>Tablet</t>
  </si>
  <si>
    <t>North America</t>
  </si>
  <si>
    <t>Desk</t>
  </si>
  <si>
    <t>Keyboard</t>
  </si>
  <si>
    <t>Printer</t>
  </si>
  <si>
    <t>Revenue</t>
  </si>
  <si>
    <t>Sum of Revenue</t>
  </si>
  <si>
    <t>Row Labels</t>
  </si>
  <si>
    <t>Grand Total</t>
  </si>
  <si>
    <t>Total Revenue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</si>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</sst>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NumberFormat="1"/>
    <xf numFmtId="0" fontId="0" fillId="0" borderId="0" xfId="0" pivotButton="1"/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[sales_dashboard.xlsx]Dashoboard!PivotTable3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Dashoboard!$B$4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Dashoboard!$A$5:$A$8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Dashoboard!$B$5:$B$8</c:f>
              <c:numCache>
                <c:formatCode>General</c:formatCode>
                <c:ptCount val="3"/>
                <c:pt idx="0">
                  <c:v>800</c:v>
                </c:pt>
                <c:pt idx="1">
                  <c:v>1480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3-451F-A214-15BF26812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962968"/>
        <c:axId val="498964048"/>
      </c:barChart>
      <c:catAx>
        <c:axId val="498962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64048"/>
        <c:crosses val="autoZero"/>
        <c:auto val="1"/>
        <c:lblAlgn val="ctr"/>
        <c:lblOffset val="100"/>
        <c:noMultiLvlLbl val="0"/>
      </c:catAx>
      <c:valAx>
        <c:axId val="49896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62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411576459919255"/>
          <c:y val="0.3361912384675434"/>
          <c:w val="0.62285330612743173"/>
          <c:h val="0.26346129568862386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3755</c:v>
              </c:pt>
              <c:pt idx="1">
                <c:v>800</c:v>
              </c:pt>
              <c:pt idx="2">
                <c:v>225</c:v>
              </c:pt>
            </c:numLit>
          </c:val>
          <c:extLst>
            <c:ext xmlns:c16="http://schemas.microsoft.com/office/drawing/2014/chart" uri="{C3380CC4-5D6E-409C-BE32-E72D297353CC}">
              <c16:uniqueId val="{00000000-51CE-4425-A167-5A701109E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0708304"/>
        <c:axId val="640708664"/>
        <c:axId val="0"/>
      </c:bar3DChart>
      <c:catAx>
        <c:axId val="64070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08664"/>
        <c:crosses val="autoZero"/>
        <c:auto val="1"/>
        <c:lblAlgn val="ctr"/>
        <c:lblOffset val="100"/>
        <c:noMultiLvlLbl val="0"/>
      </c:catAx>
      <c:valAx>
        <c:axId val="64070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0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142874</xdr:rowOff>
    </xdr:from>
    <xdr:to>
      <xdr:col>2</xdr:col>
      <xdr:colOff>638175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C68BF-3B7A-0FA1-A4F5-23E7A30D1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276224</xdr:colOff>
      <xdr:row>8</xdr:row>
      <xdr:rowOff>180975</xdr:rowOff>
    </xdr:from>
    <xdr:to>
      <xdr:col>6</xdr:col>
      <xdr:colOff>85724</xdr:colOff>
      <xdr:row>19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4ECF3D-0424-4D7F-EDEC-C5C951CCB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a Mpousnaki" refreshedDate="46085.531681597226" createdVersion="8" refreshedVersion="8" minRefreshableVersion="3" recordCount="10" xr:uid="{21F49A1E-0EFE-42C6-9F39-66B5C930B39D}">
  <cacheSource type="worksheet">
    <worksheetSource ref="A4:G14" sheet="Sheet1"/>
  </cacheSource>
  <cacheFields count="7">
    <cacheField name="Order Date" numFmtId="14">
      <sharedItems containsSemiMixedTypes="0" containsNonDate="0" containsDate="1" containsString="0" minDate="2025-01-05T00:00:00" maxDate="2025-02-16T00:00:00"/>
    </cacheField>
    <cacheField name="Product" numFmtId="0">
      <sharedItems/>
    </cacheField>
    <cacheField name="Category " numFmtId="0">
      <sharedItems/>
    </cacheField>
    <cacheField name="Region" numFmtId="0">
      <sharedItems count="3">
        <s v="Europe"/>
        <s v="Asia"/>
        <s v="North America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5" maxValue="1200"/>
    </cacheField>
    <cacheField name="Revenue" numFmtId="0">
      <sharedItems containsSemiMixedTypes="0" containsString="0" containsNumber="1" containsInteger="1" minValue="25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a Mpousnaki" refreshedDate="46085.532725810182" createdVersion="8" refreshedVersion="8" minRefreshableVersion="3" recordCount="10" xr:uid="{9DC83F40-7E23-404E-A60D-B75BCDDD829D}">
  <cacheSource type="worksheet">
    <worksheetSource ref="A4:G14" sheet="Sheet1"/>
  </cacheSource>
  <cacheFields count="7">
    <cacheField name="Order Date" numFmtId="14">
      <sharedItems containsSemiMixedTypes="0" containsNonDate="0" containsDate="1" containsString="0" minDate="2025-01-05T00:00:00" maxDate="2025-02-16T00:00:00"/>
    </cacheField>
    <cacheField name="Product" numFmtId="0">
      <sharedItems/>
    </cacheField>
    <cacheField name="Category " numFmtId="0">
      <sharedItems count="3">
        <s v="Electronics"/>
        <s v="Furniture"/>
        <s v="Office Supplies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5" maxValue="1200"/>
    </cacheField>
    <cacheField name="Revenue" numFmtId="0">
      <sharedItems containsSemiMixedTypes="0" containsString="0" containsNumber="1" containsInteger="1" minValue="25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5-01-05T00:00:00"/>
    <s v="Laptop"/>
    <s v="Electronics"/>
    <x v="0"/>
    <n v="1"/>
    <n v="1200"/>
    <n v="1200"/>
  </r>
  <r>
    <d v="2025-01-07T00:00:00"/>
    <s v="Mouse"/>
    <s v="Electronics"/>
    <x v="0"/>
    <n v="3"/>
    <n v="25"/>
    <n v="75"/>
  </r>
  <r>
    <d v="2025-01-10T00:00:00"/>
    <s v="Desk Chair"/>
    <s v="Furniture"/>
    <x v="1"/>
    <n v="2"/>
    <n v="150"/>
    <n v="300"/>
  </r>
  <r>
    <d v="2025-01-12T00:00:00"/>
    <s v="Monitor"/>
    <s v="Electronics"/>
    <x v="1"/>
    <n v="1"/>
    <n v="300"/>
    <n v="300"/>
  </r>
  <r>
    <d v="2025-01-15T00:00:00"/>
    <s v="Notebook"/>
    <s v="Office Supplies"/>
    <x v="0"/>
    <n v="5"/>
    <n v="5"/>
    <n v="25"/>
  </r>
  <r>
    <d v="2025-02-01T00:00:00"/>
    <s v="Tablet"/>
    <s v="Electronics"/>
    <x v="2"/>
    <n v="2"/>
    <n v="400"/>
    <n v="800"/>
  </r>
  <r>
    <d v="2025-02-03T00:00:00"/>
    <s v="Desk"/>
    <s v="Furniture"/>
    <x v="2"/>
    <n v="1"/>
    <n v="500"/>
    <n v="500"/>
  </r>
  <r>
    <d v="2025-02-08T00:00:00"/>
    <s v="Keyboard"/>
    <s v="Electronics"/>
    <x v="0"/>
    <n v="4"/>
    <n v="45"/>
    <n v="180"/>
  </r>
  <r>
    <d v="2025-02-10T00:00:00"/>
    <s v="Printer"/>
    <s v="Office Supplies"/>
    <x v="1"/>
    <n v="1"/>
    <n v="200"/>
    <n v="200"/>
  </r>
  <r>
    <d v="2025-02-15T00:00:00"/>
    <s v="Laptop"/>
    <s v="Electronics"/>
    <x v="2"/>
    <n v="1"/>
    <n v="1200"/>
    <n v="1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5-01-05T00:00:00"/>
    <s v="Laptop"/>
    <x v="0"/>
    <s v="Europe"/>
    <n v="1"/>
    <n v="1200"/>
    <n v="1200"/>
  </r>
  <r>
    <d v="2025-01-07T00:00:00"/>
    <s v="Mouse"/>
    <x v="0"/>
    <s v="Europe"/>
    <n v="3"/>
    <n v="25"/>
    <n v="75"/>
  </r>
  <r>
    <d v="2025-01-10T00:00:00"/>
    <s v="Desk Chair"/>
    <x v="1"/>
    <s v="Asia"/>
    <n v="2"/>
    <n v="150"/>
    <n v="300"/>
  </r>
  <r>
    <d v="2025-01-12T00:00:00"/>
    <s v="Monitor"/>
    <x v="0"/>
    <s v="Asia"/>
    <n v="1"/>
    <n v="300"/>
    <n v="300"/>
  </r>
  <r>
    <d v="2025-01-15T00:00:00"/>
    <s v="Notebook"/>
    <x v="2"/>
    <s v="Europe"/>
    <n v="5"/>
    <n v="5"/>
    <n v="25"/>
  </r>
  <r>
    <d v="2025-02-01T00:00:00"/>
    <s v="Tablet"/>
    <x v="0"/>
    <s v="North America"/>
    <n v="2"/>
    <n v="400"/>
    <n v="800"/>
  </r>
  <r>
    <d v="2025-02-03T00:00:00"/>
    <s v="Desk"/>
    <x v="1"/>
    <s v="North America"/>
    <n v="1"/>
    <n v="500"/>
    <n v="500"/>
  </r>
  <r>
    <d v="2025-02-08T00:00:00"/>
    <s v="Keyboard"/>
    <x v="0"/>
    <s v="Europe"/>
    <n v="4"/>
    <n v="45"/>
    <n v="180"/>
  </r>
  <r>
    <d v="2025-02-10T00:00:00"/>
    <s v="Printer"/>
    <x v="2"/>
    <s v="Asia"/>
    <n v="1"/>
    <n v="200"/>
    <n v="200"/>
  </r>
  <r>
    <d v="2025-02-15T00:00:00"/>
    <s v="Laptop"/>
    <x v="0"/>
    <s v="North America"/>
    <n v="1"/>
    <n v="1200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B42CC-C28C-43EF-8777-889B9AA15D44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4:F8" firstHeaderRow="1" firstDataRow="1" firstDataCol="1"/>
  <pivotFields count="7"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CD44D-C66B-48D0-A304-44511E99C74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8" firstHeaderRow="1" firstDataRow="1" firstDataCol="1"/>
  <pivotFields count="7">
    <pivotField numFmtId="14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7317-88BE-42E1-ABB7-B83541891CF5}">
  <dimension ref="A1:G15"/>
  <sheetViews>
    <sheetView workbookViewId="0">
      <selection activeCell="F18" sqref="F18"/>
    </sheetView>
  </sheetViews>
  <sheetFormatPr defaultRowHeight="15" x14ac:dyDescent="0.25"/>
  <cols>
    <col min="1" max="1" width="17.28515625" customWidth="1"/>
    <col min="2" max="2" width="16.140625" customWidth="1"/>
    <col min="3" max="3" width="13.28515625" customWidth="1"/>
    <col min="4" max="4" width="16" customWidth="1"/>
    <col min="5" max="5" width="10.5703125" customWidth="1"/>
    <col min="6" max="6" width="11.42578125" customWidth="1"/>
  </cols>
  <sheetData>
    <row r="1" spans="1:7" x14ac:dyDescent="0.25">
      <c r="A1" s="2" t="s">
        <v>25</v>
      </c>
      <c r="B1" s="7">
        <f>(SUM(G5:G14))</f>
        <v>4780</v>
      </c>
    </row>
    <row r="4" spans="1:7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21</v>
      </c>
    </row>
    <row r="5" spans="1:7" x14ac:dyDescent="0.25">
      <c r="A5" s="3">
        <v>45662</v>
      </c>
      <c r="B5" s="4" t="s">
        <v>6</v>
      </c>
      <c r="C5" s="4" t="s">
        <v>7</v>
      </c>
      <c r="D5" s="4" t="s">
        <v>8</v>
      </c>
      <c r="E5" s="4">
        <v>1</v>
      </c>
      <c r="F5" s="4">
        <v>1200</v>
      </c>
      <c r="G5" s="4">
        <f>E5*F5</f>
        <v>1200</v>
      </c>
    </row>
    <row r="6" spans="1:7" x14ac:dyDescent="0.25">
      <c r="A6" s="3">
        <v>45664</v>
      </c>
      <c r="B6" s="4" t="s">
        <v>9</v>
      </c>
      <c r="C6" s="4" t="s">
        <v>7</v>
      </c>
      <c r="D6" s="4" t="s">
        <v>8</v>
      </c>
      <c r="E6" s="4">
        <v>3</v>
      </c>
      <c r="F6" s="4">
        <v>25</v>
      </c>
      <c r="G6" s="4">
        <f t="shared" ref="G6:G14" si="0">E6*F6</f>
        <v>75</v>
      </c>
    </row>
    <row r="7" spans="1:7" x14ac:dyDescent="0.25">
      <c r="A7" s="3">
        <v>45667</v>
      </c>
      <c r="B7" s="4" t="s">
        <v>10</v>
      </c>
      <c r="C7" s="4" t="s">
        <v>11</v>
      </c>
      <c r="D7" s="4" t="s">
        <v>12</v>
      </c>
      <c r="E7" s="4">
        <v>2</v>
      </c>
      <c r="F7" s="4">
        <v>150</v>
      </c>
      <c r="G7" s="4">
        <f t="shared" si="0"/>
        <v>300</v>
      </c>
    </row>
    <row r="8" spans="1:7" x14ac:dyDescent="0.25">
      <c r="A8" s="3">
        <v>45669</v>
      </c>
      <c r="B8" s="4" t="s">
        <v>13</v>
      </c>
      <c r="C8" s="4" t="s">
        <v>7</v>
      </c>
      <c r="D8" s="4" t="s">
        <v>12</v>
      </c>
      <c r="E8" s="4">
        <v>1</v>
      </c>
      <c r="F8" s="4">
        <v>300</v>
      </c>
      <c r="G8" s="4">
        <f t="shared" si="0"/>
        <v>300</v>
      </c>
    </row>
    <row r="9" spans="1:7" x14ac:dyDescent="0.25">
      <c r="A9" s="3">
        <v>45672</v>
      </c>
      <c r="B9" s="4" t="s">
        <v>14</v>
      </c>
      <c r="C9" s="4" t="s">
        <v>15</v>
      </c>
      <c r="D9" s="4" t="s">
        <v>8</v>
      </c>
      <c r="E9" s="4">
        <v>5</v>
      </c>
      <c r="F9" s="4">
        <v>5</v>
      </c>
      <c r="G9" s="4">
        <f t="shared" si="0"/>
        <v>25</v>
      </c>
    </row>
    <row r="10" spans="1:7" x14ac:dyDescent="0.25">
      <c r="A10" s="3">
        <v>45689</v>
      </c>
      <c r="B10" s="4" t="s">
        <v>16</v>
      </c>
      <c r="C10" s="4" t="s">
        <v>7</v>
      </c>
      <c r="D10" s="4" t="s">
        <v>17</v>
      </c>
      <c r="E10" s="4">
        <v>2</v>
      </c>
      <c r="F10" s="4">
        <v>400</v>
      </c>
      <c r="G10" s="4">
        <f t="shared" si="0"/>
        <v>800</v>
      </c>
    </row>
    <row r="11" spans="1:7" x14ac:dyDescent="0.25">
      <c r="A11" s="3">
        <v>45691</v>
      </c>
      <c r="B11" s="4" t="s">
        <v>18</v>
      </c>
      <c r="C11" s="4" t="s">
        <v>11</v>
      </c>
      <c r="D11" s="4" t="s">
        <v>17</v>
      </c>
      <c r="E11" s="4">
        <v>1</v>
      </c>
      <c r="F11" s="4">
        <v>500</v>
      </c>
      <c r="G11" s="4">
        <f t="shared" si="0"/>
        <v>500</v>
      </c>
    </row>
    <row r="12" spans="1:7" x14ac:dyDescent="0.25">
      <c r="A12" s="3">
        <v>45696</v>
      </c>
      <c r="B12" s="4" t="s">
        <v>19</v>
      </c>
      <c r="C12" s="4" t="s">
        <v>7</v>
      </c>
      <c r="D12" s="4" t="s">
        <v>8</v>
      </c>
      <c r="E12" s="4">
        <v>4</v>
      </c>
      <c r="F12" s="4">
        <v>45</v>
      </c>
      <c r="G12" s="4">
        <f t="shared" si="0"/>
        <v>180</v>
      </c>
    </row>
    <row r="13" spans="1:7" x14ac:dyDescent="0.25">
      <c r="A13" s="3">
        <v>45698</v>
      </c>
      <c r="B13" s="4" t="s">
        <v>20</v>
      </c>
      <c r="C13" s="4" t="s">
        <v>15</v>
      </c>
      <c r="D13" s="4" t="s">
        <v>12</v>
      </c>
      <c r="E13" s="4">
        <v>1</v>
      </c>
      <c r="F13" s="4">
        <v>200</v>
      </c>
      <c r="G13" s="4">
        <f t="shared" si="0"/>
        <v>200</v>
      </c>
    </row>
    <row r="14" spans="1:7" x14ac:dyDescent="0.25">
      <c r="A14" s="3">
        <v>45703</v>
      </c>
      <c r="B14" s="4" t="s">
        <v>6</v>
      </c>
      <c r="C14" s="4" t="s">
        <v>7</v>
      </c>
      <c r="D14" s="4" t="s">
        <v>17</v>
      </c>
      <c r="E14" s="4">
        <v>1</v>
      </c>
      <c r="F14" s="4">
        <v>1200</v>
      </c>
      <c r="G14" s="4">
        <f t="shared" si="0"/>
        <v>1200</v>
      </c>
    </row>
    <row r="15" spans="1:7" x14ac:dyDescent="0.25">
      <c r="A15" s="1"/>
      <c r="B15" s="1"/>
      <c r="C15" s="1"/>
      <c r="D15" s="1"/>
      <c r="E15" s="1"/>
      <c r="F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E329-6854-4CF7-8280-46D8A2B6653A}">
  <dimension ref="A1:F8"/>
  <sheetViews>
    <sheetView tabSelected="1" workbookViewId="0">
      <selection activeCell="A2" sqref="A2:XFD2"/>
    </sheetView>
  </sheetViews>
  <sheetFormatPr defaultRowHeight="15" x14ac:dyDescent="0.25"/>
  <cols>
    <col min="1" max="1" width="14.28515625" bestFit="1" customWidth="1"/>
    <col min="2" max="2" width="15.85546875" bestFit="1" customWidth="1"/>
    <col min="3" max="3" width="17.140625" customWidth="1"/>
    <col min="5" max="5" width="19.28515625" customWidth="1"/>
    <col min="6" max="6" width="17.42578125" customWidth="1"/>
    <col min="8" max="8" width="15.140625" customWidth="1"/>
    <col min="9" max="9" width="16.28515625" customWidth="1"/>
  </cols>
  <sheetData>
    <row r="1" spans="1:6" ht="24" x14ac:dyDescent="0.4">
      <c r="A1" s="8" t="s">
        <v>26</v>
      </c>
    </row>
    <row r="4" spans="1:6" x14ac:dyDescent="0.25">
      <c r="A4" s="6" t="s">
        <v>23</v>
      </c>
      <c r="B4" t="s">
        <v>22</v>
      </c>
      <c r="E4" s="6" t="s">
        <v>23</v>
      </c>
      <c r="F4" t="s">
        <v>22</v>
      </c>
    </row>
    <row r="5" spans="1:6" x14ac:dyDescent="0.25">
      <c r="A5" s="1" t="s">
        <v>12</v>
      </c>
      <c r="B5" s="5">
        <v>800</v>
      </c>
      <c r="E5" s="1" t="s">
        <v>7</v>
      </c>
      <c r="F5" s="5">
        <v>3755</v>
      </c>
    </row>
    <row r="6" spans="1:6" x14ac:dyDescent="0.25">
      <c r="A6" s="1" t="s">
        <v>8</v>
      </c>
      <c r="B6" s="5">
        <v>1480</v>
      </c>
      <c r="E6" s="1" t="s">
        <v>11</v>
      </c>
      <c r="F6" s="5">
        <v>800</v>
      </c>
    </row>
    <row r="7" spans="1:6" x14ac:dyDescent="0.25">
      <c r="A7" s="1" t="s">
        <v>17</v>
      </c>
      <c r="B7" s="5">
        <v>2500</v>
      </c>
      <c r="E7" s="1" t="s">
        <v>15</v>
      </c>
      <c r="F7" s="5">
        <v>225</v>
      </c>
    </row>
    <row r="8" spans="1:6" x14ac:dyDescent="0.25">
      <c r="A8" s="1" t="s">
        <v>24</v>
      </c>
      <c r="B8" s="5">
        <v>4780</v>
      </c>
      <c r="E8" s="1" t="s">
        <v>24</v>
      </c>
      <c r="F8" s="5">
        <v>4780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Dashoboard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Mpousnaki</dc:creator>
  <cp:lastModifiedBy>Tania Mpousnaki</cp:lastModifiedBy>
  <dcterms:created xsi:type="dcterms:W3CDTF">2026-03-04T10:40:53Z</dcterms:created>
  <dcterms:modified xsi:type="dcterms:W3CDTF">2026-03-04T11:18:28Z</dcterms:modified>
</cp:coreProperties>
</file>